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UZMAN\Documents\Seproinca 2020\Respuestas Academia\Concreto Armado\Corrección de la torsión en CSI\"/>
    </mc:Choice>
  </mc:AlternateContent>
  <xr:revisionPtr revIDLastSave="0" documentId="13_ncr:1_{83EE6E86-39B5-4503-8F7C-B9E6B9186F48}" xr6:coauthVersionLast="45" xr6:coauthVersionMax="45" xr10:uidLastSave="{00000000-0000-0000-0000-000000000000}"/>
  <bookViews>
    <workbookView xWindow="28680" yWindow="-120" windowWidth="29040" windowHeight="16440" xr2:uid="{A1DF950D-11A6-4BCB-8498-ACFDCFE57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  <c r="G19" i="1"/>
  <c r="F19" i="1"/>
  <c r="F7" i="1"/>
  <c r="G7" i="1"/>
  <c r="F23" i="1"/>
  <c r="F22" i="1"/>
  <c r="F21" i="1"/>
  <c r="F20" i="1"/>
  <c r="G20" i="1"/>
  <c r="G22" i="1" l="1"/>
  <c r="G23" i="1"/>
</calcChain>
</file>

<file path=xl/sharedStrings.xml><?xml version="1.0" encoding="utf-8"?>
<sst xmlns="http://schemas.openxmlformats.org/spreadsheetml/2006/main" count="22" uniqueCount="11">
  <si>
    <t>Corrección de la torsión:</t>
  </si>
  <si>
    <r>
      <t>ØT</t>
    </r>
    <r>
      <rPr>
        <vertAlign val="subscript"/>
        <sz val="11"/>
        <color theme="1"/>
        <rFont val="Calibri"/>
        <family val="2"/>
      </rPr>
      <t>cr</t>
    </r>
    <r>
      <rPr>
        <sz val="11"/>
        <color theme="1"/>
        <rFont val="Calibri"/>
        <family val="2"/>
      </rPr>
      <t xml:space="preserve"> (ton-m) =</t>
    </r>
  </si>
  <si>
    <t>Tu</t>
  </si>
  <si>
    <t>Factor</t>
  </si>
  <si>
    <t>Debe ser menor o igual a:</t>
  </si>
  <si>
    <t>Como no se cumple, el programa declara O/S # 45</t>
  </si>
  <si>
    <r>
      <t>ØT</t>
    </r>
    <r>
      <rPr>
        <b/>
        <vertAlign val="subscript"/>
        <sz val="11"/>
        <color theme="1"/>
        <rFont val="Calibri"/>
        <family val="2"/>
      </rPr>
      <t>cr</t>
    </r>
    <r>
      <rPr>
        <b/>
        <sz val="11"/>
        <color theme="1"/>
        <rFont val="Calibri"/>
        <family val="2"/>
      </rPr>
      <t xml:space="preserve"> / Tu</t>
    </r>
  </si>
  <si>
    <t>Caso</t>
  </si>
  <si>
    <t>UDCON2</t>
  </si>
  <si>
    <t>Prog.</t>
  </si>
  <si>
    <t>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</si>
</sst>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70C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2" fontId="0" fillId="0" borderId="0" xfId="0" applyNumberFormat="1" applyAlignment="1">
      <alignment horizontal="center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152401</xdr:colOff>
      <xdr:row>5</xdr:row>
      <xdr:rowOff>65496</xdr:rowOff>
    </xdr:from>
    <xdr:to>
      <xdr:col>11</xdr:col>
      <xdr:colOff>590550</xdr:colOff>
      <xdr:row>8</xdr:row>
      <xdr:rowOff>136422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8FF31-B522-4123-AC72-F5D43E66B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1" y="1494246"/>
          <a:ext cx="2876550" cy="7186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142875</xdr:colOff>
      <xdr:row>9</xdr:row>
      <xdr:rowOff>123825</xdr:rowOff>
    </xdr:from>
    <xdr:to>
      <xdr:col>12</xdr:col>
      <xdr:colOff>163216</xdr:colOff>
      <xdr:row>14</xdr:row>
      <xdr:rowOff>95250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E32A56D-C7D6-4F48-BE3D-3DFDE5E8B6E7}"/>
            </a:ext>
          </a:extLst>
        </xdr:cNvPr>
        <xdr:cNvGrpSpPr/>
      </xdr:nvGrpSpPr>
      <xdr:grpSpPr>
        <a:xfrm>
          <a:off x="4727790" y="2141833"/>
          <a:ext cx="3087714" cy="948142"/>
          <a:chOff x="3781425" y="2409825"/>
          <a:chExt cx="3068341" cy="93345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95CE206-A858-457A-8A80-FEC4339121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81425" y="2409825"/>
            <a:ext cx="3068341" cy="9334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1FAE1853-1931-4281-ACD9-8C4D7DF6EA59}"/>
              </a:ext>
            </a:extLst>
          </xdr:cNvPr>
          <xdr:cNvSpPr/>
        </xdr:nvSpPr>
        <xdr:spPr>
          <a:xfrm>
            <a:off x="6191250" y="3114675"/>
            <a:ext cx="647700" cy="219075"/>
          </a:xfrm>
          <a:prstGeom prst="rect">
            <a:avLst/>
          </a:prstGeom>
          <a:solidFill>
            <a:srgbClr val="FFFF00">
              <a:alpha val="50196"/>
            </a:srgbClr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100"/>
          </a:p>
        </xdr:txBody>
      </xdr:sp>
    </xdr:grpSp>
    <xdr:clientData/>
  </xdr:twoCellAnchor>
  <xdr:twoCellAnchor>
    <xdr:from>
      <xdr:col>16</xdr:col>
      <xdr:colOff>9526</xdr:colOff>
      <xdr:row>9</xdr:row>
      <xdr:rowOff>155025</xdr:rowOff>
    </xdr:from>
    <xdr:to>
      <xdr:col>21</xdr:col>
      <xdr:colOff>432055</xdr:colOff>
      <xdr:row>13</xdr:row>
      <xdr:rowOff>66675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F871864-884F-48CA-BC99-821ECE8832D2}"/>
            </a:ext>
          </a:extLst>
        </xdr:cNvPr>
        <xdr:cNvGrpSpPr>
          <a:grpSpLocks noChangeAspect="1"/>
        </xdr:cNvGrpSpPr>
      </xdr:nvGrpSpPr>
      <xdr:grpSpPr>
        <a:xfrm>
          <a:off x="9768615" y="2173033"/>
          <a:ext cx="3489902" cy="694638"/>
          <a:chOff x="9115426" y="2460075"/>
          <a:chExt cx="4533900" cy="892500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049C9CC-8854-4CD2-8A53-623D6235EA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115426" y="2460075"/>
            <a:ext cx="4533900" cy="89250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161B893-6D74-4ECB-A387-578C17BBC1DC}"/>
              </a:ext>
            </a:extLst>
          </xdr:cNvPr>
          <xdr:cNvSpPr/>
        </xdr:nvSpPr>
        <xdr:spPr>
          <a:xfrm>
            <a:off x="12734924" y="2647950"/>
            <a:ext cx="914401" cy="238125"/>
          </a:xfrm>
          <a:prstGeom prst="rect">
            <a:avLst/>
          </a:prstGeom>
          <a:solidFill>
            <a:srgbClr val="FFFF00">
              <a:alpha val="50196"/>
            </a:srgbClr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100"/>
          </a:p>
        </xdr:txBody>
      </xdr:sp>
    </xdr:grpSp>
    <xdr:clientData/>
  </xdr:twoCellAnchor>
  <xdr:twoCellAnchor>
    <xdr:from>
      <xdr:col>7</xdr:col>
      <xdr:colOff>108648</xdr:colOff>
      <xdr:row>16</xdr:row>
      <xdr:rowOff>161925</xdr:rowOff>
    </xdr:from>
    <xdr:to>
      <xdr:col>18</xdr:col>
      <xdr:colOff>573047</xdr:colOff>
      <xdr:row>35</xdr:row>
      <xdr:rowOff>86559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0A790B7-2A7F-4CB2-932F-DD8BB80689A1}"/>
            </a:ext>
          </a:extLst>
        </xdr:cNvPr>
        <xdr:cNvGrpSpPr/>
      </xdr:nvGrpSpPr>
      <xdr:grpSpPr>
        <a:xfrm>
          <a:off x="4693563" y="3544107"/>
          <a:ext cx="6865522" cy="3718490"/>
          <a:chOff x="4985448" y="3905250"/>
          <a:chExt cx="6827099" cy="3677484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AA92868A-3987-4DAF-A759-318641DC63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985448" y="3905250"/>
            <a:ext cx="6827099" cy="3677484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37DDBE5-DA8F-459F-BA02-9ECDAF438A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486650" y="5132969"/>
            <a:ext cx="2972228" cy="563062"/>
          </a:xfrm>
          <a:prstGeom prst="rect">
            <a:avLst/>
          </a:prstGeom>
        </xdr:spPr>
      </xdr:pic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F964AF30-A1C0-4D53-A0EC-6FA2784488B5}"/>
              </a:ext>
            </a:extLst>
          </xdr:cNvPr>
          <xdr:cNvCxnSpPr/>
        </xdr:nvCxnSpPr>
        <xdr:spPr>
          <a:xfrm flipV="1">
            <a:off x="10344150" y="4914900"/>
            <a:ext cx="466725" cy="62865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14</xdr:col>
      <xdr:colOff>200643</xdr:colOff>
      <xdr:row>36</xdr:row>
      <xdr:rowOff>80719</xdr:rowOff>
    </xdr:from>
    <xdr:to>
      <xdr:col>22</xdr:col>
      <xdr:colOff>161445</xdr:colOff>
      <xdr:row>61</xdr:row>
      <xdr:rowOff>8071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D8B17F-9248-4537-85BD-C90CA602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1448" y="7837944"/>
          <a:ext cx="4868598" cy="47705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19</xdr:col>
      <xdr:colOff>203419</xdr:colOff>
      <xdr:row>51</xdr:row>
      <xdr:rowOff>32289</xdr:rowOff>
    </xdr:from>
    <xdr:to>
      <xdr:col>23</xdr:col>
      <xdr:colOff>76621</xdr:colOff>
      <xdr:row>62</xdr:row>
      <xdr:rowOff>149178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D5A0FA4-AD95-45C0-8EE7-6BB2780C7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01597" y="10695446"/>
          <a:ext cx="2327100" cy="2247906"/>
        </a:xfrm>
        <a:prstGeom prst="rect">
          <a:avLst/>
        </a:prstGeom>
      </xdr:spPr>
    </xdr:pic>
    <xdr:clientData/>
  </xdr:twoCellAnchor>
  <xdr:twoCellAnchor editAs="oneCell">
    <xdr:from>
      <xdr:col>6</xdr:col>
      <xdr:colOff>48432</xdr:colOff>
      <xdr:row>36</xdr:row>
      <xdr:rowOff>96864</xdr:rowOff>
    </xdr:from>
    <xdr:to>
      <xdr:col>14</xdr:col>
      <xdr:colOff>134805</xdr:colOff>
      <xdr:row>61</xdr:row>
      <xdr:rowOff>59644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7B56EC-949E-4B3A-BB1A-E7C4F320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18538" y="7854089"/>
          <a:ext cx="4647072" cy="4806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242161</xdr:colOff>
      <xdr:row>51</xdr:row>
      <xdr:rowOff>64575</xdr:rowOff>
    </xdr:from>
    <xdr:to>
      <xdr:col>9</xdr:col>
      <xdr:colOff>41023</xdr:colOff>
      <xdr:row>63</xdr:row>
      <xdr:rowOff>190337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3894805-7FE2-4AE9-A5B3-977E3BEA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80847" y="10727732"/>
          <a:ext cx="2470705" cy="2450508"/>
        </a:xfrm>
        <a:prstGeom prst="rect">
          <a:avLst/>
        </a:prstGeom>
      </xdr:spPr>
    </xdr:pic>
    <xdr:clientData/>
  </xdr:twoCellAnchor>
  <xdr:twoCellAnchor>
    <xdr:from>
      <xdr:col>6</xdr:col>
      <xdr:colOff>177585</xdr:colOff>
      <xdr:row>36</xdr:row>
      <xdr:rowOff>153368</xdr:rowOff>
    </xdr:from>
    <xdr:to>
      <xdr:col>13</xdr:col>
      <xdr:colOff>605402</xdr:colOff>
      <xdr:row>38</xdr:row>
      <xdr:rowOff>113009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354A11C-D1FC-43DA-924C-340CC869FD6A}"/>
            </a:ext>
          </a:extLst>
        </xdr:cNvPr>
        <xdr:cNvSpPr txBox="1"/>
      </xdr:nvSpPr>
      <xdr:spPr>
        <a:xfrm>
          <a:off x="4447691" y="7910593"/>
          <a:ext cx="4375042" cy="3470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400" b="1">
              <a:solidFill>
                <a:srgbClr val="0070C0"/>
              </a:solidFill>
              <a:latin typeface="Arial Narrow" panose="020B0606020202030204" pitchFamily="34" charset="0"/>
            </a:rPr>
            <a:t>Antes de la</a:t>
          </a:r>
          <a:r>
            <a:rPr lang="es-VE" sz="1400" b="1" baseline="0">
              <a:solidFill>
                <a:srgbClr val="0070C0"/>
              </a:solidFill>
              <a:latin typeface="Arial Narrow" panose="020B0606020202030204" pitchFamily="34" charset="0"/>
            </a:rPr>
            <a:t> reducción de la torsión:</a:t>
          </a:r>
          <a:endParaRPr lang="es-VE" sz="1400" b="1">
            <a:solidFill>
              <a:srgbClr val="0070C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14</xdr:col>
      <xdr:colOff>354201</xdr:colOff>
      <xdr:row>36</xdr:row>
      <xdr:rowOff>168543</xdr:rowOff>
    </xdr:from>
    <xdr:to>
      <xdr:col>21</xdr:col>
      <xdr:colOff>434921</xdr:colOff>
      <xdr:row>38</xdr:row>
      <xdr:rowOff>128184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6C7906-7B07-498C-AA39-4D6A417FE460}"/>
            </a:ext>
          </a:extLst>
        </xdr:cNvPr>
        <xdr:cNvSpPr txBox="1"/>
      </xdr:nvSpPr>
      <xdr:spPr>
        <a:xfrm>
          <a:off x="9185006" y="7925768"/>
          <a:ext cx="4375042" cy="3470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400" b="1">
              <a:solidFill>
                <a:srgbClr val="0070C0"/>
              </a:solidFill>
              <a:latin typeface="Arial Narrow" panose="020B0606020202030204" pitchFamily="34" charset="0"/>
            </a:rPr>
            <a:t>Después de la</a:t>
          </a:r>
          <a:r>
            <a:rPr lang="es-VE" sz="1400" b="1" baseline="0">
              <a:solidFill>
                <a:srgbClr val="0070C0"/>
              </a:solidFill>
              <a:latin typeface="Arial Narrow" panose="020B0606020202030204" pitchFamily="34" charset="0"/>
            </a:rPr>
            <a:t> reducción de la torsión:</a:t>
          </a:r>
          <a:endParaRPr lang="es-VE" sz="1400" b="1">
            <a:solidFill>
              <a:srgbClr val="0070C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3DCE-9954-435F-9AFE-6759DCC67690}">
  <dimension ref="A2:N23"/>
  <sheetViews>
    <sheetView showGridLines="0" tabSelected="1" topLeftCell="A34" zoomScale="118" zoomScaleNormal="118" workbookViewId="0">
      <selection activeCell="E23" sqref="E23"/>
    </sheetView>
  </sheetViews>
  <sheetFormatPr defaultRowHeight="15" x14ac:dyDescent="0.25"/>
  <cols>
    <col min="1" max="1" width="4.7109375" customWidth="1"/>
    <col min="5" max="5" width="14.7109375" customWidth="1"/>
    <col min="6" max="6" width="12.42578125" customWidth="1"/>
    <col min="13" max="13" width="4" customWidth="1"/>
  </cols>
  <sheetData>
    <row r="2" spans="1:14" ht="25.5" x14ac:dyDescent="0.35">
      <c r="B2" s="11" t="s">
        <v>0</v>
      </c>
      <c r="D2" s="1"/>
      <c r="F2" s="1"/>
      <c r="G2" s="1"/>
    </row>
    <row r="3" spans="1:14" ht="16.5" x14ac:dyDescent="0.3">
      <c r="D3" s="1"/>
      <c r="E3" s="1"/>
      <c r="F3" s="1"/>
      <c r="G3" s="1"/>
    </row>
    <row r="4" spans="1:14" ht="18" x14ac:dyDescent="0.35">
      <c r="D4" s="1"/>
      <c r="E4" s="2" t="s">
        <v>1</v>
      </c>
      <c r="F4" s="3">
        <v>1.9394</v>
      </c>
      <c r="G4" s="1"/>
    </row>
    <row r="5" spans="1:14" ht="16.5" x14ac:dyDescent="0.3">
      <c r="D5" s="1"/>
      <c r="E5" s="1"/>
      <c r="F5" s="1"/>
      <c r="G5" s="1"/>
    </row>
    <row r="6" spans="1:14" ht="18" x14ac:dyDescent="0.35">
      <c r="B6" s="12" t="s">
        <v>7</v>
      </c>
      <c r="C6" s="13" t="s">
        <v>9</v>
      </c>
      <c r="D6" s="13" t="s">
        <v>10</v>
      </c>
      <c r="E6" s="14" t="s">
        <v>2</v>
      </c>
      <c r="F6" s="15" t="s">
        <v>6</v>
      </c>
      <c r="G6" s="16" t="s">
        <v>3</v>
      </c>
    </row>
    <row r="7" spans="1:14" ht="16.5" x14ac:dyDescent="0.3">
      <c r="A7" s="8"/>
      <c r="B7" s="7" t="s">
        <v>8</v>
      </c>
      <c r="C7" s="7">
        <v>5.8</v>
      </c>
      <c r="D7" s="4">
        <v>1</v>
      </c>
      <c r="E7" s="4">
        <v>5.22</v>
      </c>
      <c r="F7" s="3">
        <f>+$F$4/E7</f>
        <v>0.37153256704980847</v>
      </c>
      <c r="G7" s="5">
        <f>1*F7</f>
        <v>0.37153256704980847</v>
      </c>
    </row>
    <row r="8" spans="1:14" ht="16.5" x14ac:dyDescent="0.3">
      <c r="D8" s="1"/>
      <c r="E8" s="4"/>
    </row>
    <row r="9" spans="1:14" ht="16.5" x14ac:dyDescent="0.3">
      <c r="D9" s="1"/>
      <c r="E9" s="4"/>
    </row>
    <row r="12" spans="1:14" ht="15.75" x14ac:dyDescent="0.25">
      <c r="N12" s="6" t="s">
        <v>4</v>
      </c>
    </row>
    <row r="16" spans="1:14" x14ac:dyDescent="0.25">
      <c r="H16" t="s">
        <v>5</v>
      </c>
    </row>
    <row r="18" spans="1:7" ht="18" x14ac:dyDescent="0.35">
      <c r="B18" s="12" t="s">
        <v>7</v>
      </c>
      <c r="C18" s="13" t="s">
        <v>9</v>
      </c>
      <c r="D18" s="13" t="s">
        <v>10</v>
      </c>
      <c r="E18" s="14" t="s">
        <v>2</v>
      </c>
      <c r="F18" s="15" t="s">
        <v>6</v>
      </c>
      <c r="G18" s="16" t="s">
        <v>3</v>
      </c>
    </row>
    <row r="19" spans="1:7" ht="16.5" x14ac:dyDescent="0.3">
      <c r="A19" s="8"/>
      <c r="B19" s="7" t="s">
        <v>8</v>
      </c>
      <c r="C19" s="7">
        <v>5.8</v>
      </c>
      <c r="D19" s="4">
        <v>2</v>
      </c>
      <c r="E19" s="4">
        <v>4.3</v>
      </c>
      <c r="F19" s="3">
        <f>+$F$4/E19</f>
        <v>0.45102325581395353</v>
      </c>
      <c r="G19" s="5">
        <f>G7*F19</f>
        <v>0.1675698280317206</v>
      </c>
    </row>
    <row r="20" spans="1:7" ht="16.5" x14ac:dyDescent="0.3">
      <c r="A20" s="9"/>
      <c r="B20" s="7" t="s">
        <v>8</v>
      </c>
      <c r="C20" s="7">
        <v>5.8</v>
      </c>
      <c r="D20" s="7">
        <v>3</v>
      </c>
      <c r="E20" s="7">
        <v>3.22</v>
      </c>
      <c r="F20" s="3">
        <f>+$F$4/E20</f>
        <v>0.60229813664596266</v>
      </c>
      <c r="G20" s="5">
        <f>G19*F20</f>
        <v>0.10092699518158972</v>
      </c>
    </row>
    <row r="21" spans="1:7" ht="16.5" x14ac:dyDescent="0.3">
      <c r="A21" s="9"/>
      <c r="B21" s="7" t="s">
        <v>8</v>
      </c>
      <c r="C21" s="7">
        <v>5.8</v>
      </c>
      <c r="D21" s="7">
        <v>4</v>
      </c>
      <c r="E21" s="10">
        <v>2.4756999999999998</v>
      </c>
      <c r="F21" s="3">
        <f>+$F$4/E21</f>
        <v>0.78337439915983365</v>
      </c>
      <c r="G21" s="5">
        <f>G20*F21</f>
        <v>7.9063624209385272E-2</v>
      </c>
    </row>
    <row r="22" spans="1:7" ht="16.5" x14ac:dyDescent="0.3">
      <c r="A22" s="9"/>
      <c r="B22" s="7" t="s">
        <v>8</v>
      </c>
      <c r="C22" s="7">
        <v>5.8</v>
      </c>
      <c r="D22" s="7">
        <v>5</v>
      </c>
      <c r="E22" s="10">
        <v>2.1345000000000001</v>
      </c>
      <c r="F22" s="3">
        <f>+$F$4/E22</f>
        <v>0.90859686109159055</v>
      </c>
      <c r="G22" s="5">
        <f>G21*F22</f>
        <v>7.1836960783172546E-2</v>
      </c>
    </row>
    <row r="23" spans="1:7" ht="16.5" x14ac:dyDescent="0.3">
      <c r="A23" s="9"/>
      <c r="B23" s="7" t="s">
        <v>8</v>
      </c>
      <c r="C23" s="7">
        <v>5.8</v>
      </c>
      <c r="D23" s="7">
        <v>5</v>
      </c>
      <c r="E23" s="10">
        <v>2.0047000000000001</v>
      </c>
      <c r="F23" s="3">
        <f>+$F$4/E23</f>
        <v>0.96742654761310909</v>
      </c>
      <c r="G23" s="5">
        <f>G22*F23</f>
        <v>6.949698296148292E-2</v>
      </c>
    </row>
  </sheetData>
  <phoneticPr fontId="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Guzman</dc:creator>
  <cp:lastModifiedBy>Gabriela Guzman</cp:lastModifiedBy>
  <dcterms:created xsi:type="dcterms:W3CDTF">2020-05-30T19:49:02Z</dcterms:created>
  <dcterms:modified xsi:type="dcterms:W3CDTF">2020-05-30T23:24:44Z</dcterms:modified>
</cp:coreProperties>
</file>